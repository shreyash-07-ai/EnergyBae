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FF99"/>
        <bgColor rgb="00FFFF99"/>
      </patternFill>
    </fill>
    <fill>
      <patternFill patternType="solid">
        <fgColor rgb="00F4B084"/>
        <bgColor rgb="00F4B084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Consumer Name</t>
        </is>
      </c>
      <c r="B1" t="inlineStr">
        <is>
          <t>RANJANA MADHUSHAM KHOBRAGADE</t>
        </is>
      </c>
    </row>
    <row r="2">
      <c r="A2" t="inlineStr">
        <is>
          <t>Consumer Number</t>
        </is>
      </c>
      <c r="B2" t="inlineStr">
        <is>
          <t>439322232375</t>
        </is>
      </c>
    </row>
    <row r="3">
      <c r="A3" t="inlineStr">
        <is>
          <t>Phone/Reference</t>
        </is>
      </c>
      <c r="B3" t="inlineStr">
        <is>
          <t>91xxxx09</t>
        </is>
      </c>
    </row>
    <row r="4">
      <c r="A4" t="inlineStr">
        <is>
          <t>Bill Type</t>
        </is>
      </c>
      <c r="B4" t="inlineStr">
        <is>
          <t>Electricity Bill - Monthly</t>
        </is>
      </c>
    </row>
    <row r="5">
      <c r="A5" t="inlineStr">
        <is>
          <t>Connection Type</t>
        </is>
      </c>
      <c r="B5" t="inlineStr">
        <is>
          <t>LT I Res 1-Phase</t>
        </is>
      </c>
    </row>
    <row r="6">
      <c r="A6" t="inlineStr">
        <is>
          <t>Fixed Charge</t>
        </is>
      </c>
      <c r="B6" t="n">
        <v>140</v>
      </c>
    </row>
    <row r="7">
      <c r="A7" t="inlineStr">
        <is>
          <t>Solar Panel Capacity</t>
        </is>
      </c>
      <c r="B7" t="inlineStr">
        <is>
          <t>600</t>
        </is>
      </c>
    </row>
    <row r="9">
      <c r="A9" s="1" t="inlineStr">
        <is>
          <t>Month</t>
        </is>
      </c>
      <c r="B9" s="1" t="inlineStr">
        <is>
          <t>Units</t>
        </is>
      </c>
      <c r="C9" s="1" t="inlineStr">
        <is>
          <t>Bill Amount</t>
        </is>
      </c>
      <c r="D9" s="1" t="inlineStr">
        <is>
          <t>Unit Cost</t>
        </is>
      </c>
    </row>
    <row r="10">
      <c r="A10" t="inlineStr">
        <is>
          <t>February 2025</t>
        </is>
      </c>
      <c r="B10" t="n">
        <v>82</v>
      </c>
    </row>
    <row r="11">
      <c r="A11" t="inlineStr">
        <is>
          <t>March 2025</t>
        </is>
      </c>
      <c r="B11" t="n">
        <v>27</v>
      </c>
    </row>
    <row r="12">
      <c r="A12" t="inlineStr">
        <is>
          <t>April 2025</t>
        </is>
      </c>
      <c r="B12" t="n">
        <v>152</v>
      </c>
    </row>
    <row r="13">
      <c r="A13" t="inlineStr">
        <is>
          <t>May 2025</t>
        </is>
      </c>
      <c r="B13" t="n">
        <v>198</v>
      </c>
    </row>
    <row r="14">
      <c r="A14" t="inlineStr">
        <is>
          <t>June 2025</t>
        </is>
      </c>
      <c r="B14" t="n">
        <v>364</v>
      </c>
    </row>
    <row r="15">
      <c r="A15" t="inlineStr">
        <is>
          <t>July 2025</t>
        </is>
      </c>
      <c r="B15" t="n">
        <v>371</v>
      </c>
    </row>
    <row r="16">
      <c r="A16" t="inlineStr">
        <is>
          <t>August 2025</t>
        </is>
      </c>
      <c r="B16" t="n">
        <v>229</v>
      </c>
    </row>
    <row r="17">
      <c r="A17" t="inlineStr">
        <is>
          <t>September 2025</t>
        </is>
      </c>
      <c r="B17" t="n">
        <v>183</v>
      </c>
    </row>
    <row r="18">
      <c r="A18" t="inlineStr">
        <is>
          <t>October 2025</t>
        </is>
      </c>
      <c r="B18" t="n">
        <v>0</v>
      </c>
    </row>
    <row r="19">
      <c r="A19" t="inlineStr">
        <is>
          <t>November 2025</t>
        </is>
      </c>
      <c r="B19" t="n">
        <v>157</v>
      </c>
    </row>
    <row r="20">
      <c r="A20" t="inlineStr">
        <is>
          <t>December 2025</t>
        </is>
      </c>
      <c r="B20" t="n">
        <v>35</v>
      </c>
    </row>
    <row r="21">
      <c r="A21" t="inlineStr">
        <is>
          <t>January 2026</t>
        </is>
      </c>
      <c r="B21" t="n">
        <v>137</v>
      </c>
      <c r="C21" t="n">
        <v>3440</v>
      </c>
      <c r="D21">
        <f>IF(AND(ISNUMBER(B21), B21&gt;0), (C21-$B$6)/B21, "")</f>
        <v/>
      </c>
    </row>
    <row r="22">
      <c r="A22" s="2" t="inlineStr">
        <is>
          <t>Average</t>
        </is>
      </c>
      <c r="B22" s="2">
        <f>AVERAGE(B10:B21)</f>
        <v/>
      </c>
      <c r="C22" s="2">
        <f>AVERAGE(C10:C21)</f>
        <v/>
      </c>
      <c r="D22" s="2">
        <f>AVERAGE(D10:D21)</f>
        <v/>
      </c>
    </row>
    <row r="25">
      <c r="A25" t="inlineStr">
        <is>
          <t>kW</t>
        </is>
      </c>
      <c r="B25">
        <f>(B22*12*1.1)/1400</f>
        <v/>
      </c>
    </row>
    <row r="26">
      <c r="A26" t="inlineStr">
        <is>
          <t>Solar Panels</t>
        </is>
      </c>
      <c r="B26">
        <f>(B25)/$B$7*1000</f>
        <v/>
      </c>
    </row>
    <row r="27">
      <c r="A27" s="3" t="inlineStr">
        <is>
          <t>Solar capacity</t>
        </is>
      </c>
      <c r="B27" s="4">
        <f>ROUND(B26,0)*$B$7/1000</f>
        <v/>
      </c>
    </row>
    <row r="28">
      <c r="A28" s="3" t="inlineStr">
        <is>
          <t>Number of Panels</t>
        </is>
      </c>
      <c r="B28" s="5">
        <f>(B27)/$B$7*1000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2026-04-22T04:32:45Z</dcterms:created>
  <dcterms:modified xmlns:dcterms="http://purl.org/dc/terms/" xmlns:xsi="http://www.w3.org/2001/XMLSchema-instance" xsi:type="dcterms:W3CDTF">2026-04-22T04:32:45Z</dcterms:modified>
</cp:coreProperties>
</file>